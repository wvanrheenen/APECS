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beele3/Documents/data/Pedigree_simulation_scheme/"/>
    </mc:Choice>
  </mc:AlternateContent>
  <xr:revisionPtr revIDLastSave="0" documentId="13_ncr:1_{8AF4121B-225B-114A-A57A-C0DBD8A032CC}" xr6:coauthVersionLast="47" xr6:coauthVersionMax="47" xr10:uidLastSave="{00000000-0000-0000-0000-000000000000}"/>
  <bookViews>
    <workbookView xWindow="30240" yWindow="500" windowWidth="38400" windowHeight="23500" xr2:uid="{00000000-000D-0000-FFFF-FFFF00000000}"/>
  </bookViews>
  <sheets>
    <sheet name="c9" sheetId="1" r:id="rId1"/>
    <sheet name="pathogen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84" i="1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83" i="2"/>
  <c r="C84" i="2"/>
</calcChain>
</file>

<file path=xl/sharedStrings.xml><?xml version="1.0" encoding="utf-8"?>
<sst xmlns="http://schemas.openxmlformats.org/spreadsheetml/2006/main" count="11" uniqueCount="9">
  <si>
    <t>age</t>
  </si>
  <si>
    <t>s_lb</t>
  </si>
  <si>
    <t>s_ub</t>
  </si>
  <si>
    <t>cum_incidence</t>
  </si>
  <si>
    <t>cum_incidence_c9_ALS</t>
  </si>
  <si>
    <t>cum_incidence_c9_FTD</t>
  </si>
  <si>
    <t>cum_incidence_patho_ALS</t>
  </si>
  <si>
    <t>cum_incidence_patho_FTD</t>
  </si>
  <si>
    <t>cum_incidence_FTD_GRNMAPT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</si>
</sst>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H1" sqref="H1"/>
    </sheetView>
  </sheetViews>
  <sheetFormatPr baseColWidth="10" defaultRowHeight="15" x14ac:dyDescent="0.2"/>
  <sheetData>
    <row r="1" spans="1:8" x14ac:dyDescent="0.2">
      <c r="A1" t="s">
        <v>0</v>
      </c>
      <c r="B1" t="s">
        <v>4</v>
      </c>
      <c r="C1" t="s">
        <v>1</v>
      </c>
      <c r="D1" t="s">
        <v>2</v>
      </c>
      <c r="E1" t="s">
        <v>6</v>
      </c>
      <c r="F1" t="s">
        <v>5</v>
      </c>
      <c r="G1" t="s">
        <v>7</v>
      </c>
      <c r="H1" t="s">
        <v>8</v>
      </c>
    </row>
    <row r="2" spans="1:8" x14ac:dyDescent="0.2">
      <c r="A2">
        <v>18</v>
      </c>
      <c r="B2">
        <v>0</v>
      </c>
      <c r="C2">
        <v>0</v>
      </c>
      <c r="D2">
        <v>4.3907793633369899E-3</v>
      </c>
      <c r="E2">
        <v>0</v>
      </c>
      <c r="F2">
        <v>0</v>
      </c>
      <c r="G2">
        <v>0</v>
      </c>
      <c r="H2">
        <f t="shared" ref="H2:H65" si="0">B2/B$84*0.95</f>
        <v>0</v>
      </c>
    </row>
    <row r="3" spans="1:8" x14ac:dyDescent="0.2">
      <c r="A3">
        <v>19</v>
      </c>
      <c r="B3">
        <v>0</v>
      </c>
      <c r="C3">
        <v>0</v>
      </c>
      <c r="D3">
        <v>4.3907793633369899E-3</v>
      </c>
      <c r="E3">
        <v>0</v>
      </c>
      <c r="F3">
        <v>0</v>
      </c>
      <c r="G3">
        <v>0</v>
      </c>
      <c r="H3">
        <f t="shared" si="0"/>
        <v>0</v>
      </c>
    </row>
    <row r="4" spans="1:8" x14ac:dyDescent="0.2">
      <c r="A4">
        <v>20</v>
      </c>
      <c r="B4">
        <v>2.2979051062885101E-16</v>
      </c>
      <c r="C4">
        <v>0</v>
      </c>
      <c r="D4">
        <v>4.4296788482835001E-3</v>
      </c>
      <c r="E4">
        <v>7.44592518792178E-16</v>
      </c>
      <c r="F4">
        <v>1.861481296980445E-16</v>
      </c>
      <c r="G4">
        <v>9.307406484902225E-17</v>
      </c>
      <c r="H4">
        <f t="shared" si="0"/>
        <v>8.8420361606571133E-16</v>
      </c>
    </row>
    <row r="5" spans="1:8" x14ac:dyDescent="0.2">
      <c r="A5">
        <v>21</v>
      </c>
      <c r="B5">
        <v>2.2560579571508799E-15</v>
      </c>
      <c r="C5">
        <v>0</v>
      </c>
      <c r="D5">
        <v>4.4943820224719096E-3</v>
      </c>
      <c r="E5">
        <v>7.3103274467644573E-15</v>
      </c>
      <c r="F5">
        <v>1.8275818616911143E-15</v>
      </c>
      <c r="G5">
        <v>9.1379093084555716E-16</v>
      </c>
      <c r="H5">
        <f t="shared" si="0"/>
        <v>8.6810138430327926E-15</v>
      </c>
    </row>
    <row r="6" spans="1:8" x14ac:dyDescent="0.2">
      <c r="A6">
        <v>22</v>
      </c>
      <c r="B6">
        <v>9.53749218862786E-15</v>
      </c>
      <c r="C6">
        <v>0</v>
      </c>
      <c r="D6">
        <v>4.5402951191827502E-3</v>
      </c>
      <c r="E6">
        <v>3.0904432529684785E-14</v>
      </c>
      <c r="F6">
        <v>7.7261081324211963E-15</v>
      </c>
      <c r="G6">
        <v>3.8630540662105982E-15</v>
      </c>
      <c r="H6">
        <f t="shared" si="0"/>
        <v>3.6699013629000677E-14</v>
      </c>
    </row>
    <row r="7" spans="1:8" x14ac:dyDescent="0.2">
      <c r="A7">
        <v>23</v>
      </c>
      <c r="B7">
        <v>3.7912257377585297E-14</v>
      </c>
      <c r="C7">
        <v>0</v>
      </c>
      <c r="D7">
        <v>4.6029919447641001E-3</v>
      </c>
      <c r="E7">
        <v>1.2284747153666534E-13</v>
      </c>
      <c r="F7">
        <v>3.0711867884166335E-14</v>
      </c>
      <c r="G7">
        <v>1.5355933942083167E-14</v>
      </c>
      <c r="H7">
        <f t="shared" si="0"/>
        <v>1.4588137244979007E-13</v>
      </c>
    </row>
    <row r="8" spans="1:8" x14ac:dyDescent="0.2">
      <c r="A8">
        <v>24</v>
      </c>
      <c r="B8">
        <v>7.3928224729252705E-14</v>
      </c>
      <c r="C8">
        <v>0</v>
      </c>
      <c r="D8">
        <v>4.6565774155995299E-3</v>
      </c>
      <c r="E8">
        <v>2.3955037529768727E-13</v>
      </c>
      <c r="F8">
        <v>5.9887593824421816E-14</v>
      </c>
      <c r="G8">
        <v>2.9943796912210908E-14</v>
      </c>
      <c r="H8">
        <f t="shared" si="0"/>
        <v>2.8446607066600359E-13</v>
      </c>
    </row>
    <row r="9" spans="1:8" x14ac:dyDescent="0.2">
      <c r="A9">
        <v>25</v>
      </c>
      <c r="B9">
        <v>7.3928224729252705E-14</v>
      </c>
      <c r="C9">
        <v>0</v>
      </c>
      <c r="D9">
        <v>4.6565774155995299E-3</v>
      </c>
      <c r="E9">
        <v>2.3955037529768727E-13</v>
      </c>
      <c r="F9">
        <v>5.9887593824421816E-14</v>
      </c>
      <c r="G9">
        <v>2.9943796912210908E-14</v>
      </c>
      <c r="H9">
        <f t="shared" si="0"/>
        <v>2.8446607066600359E-13</v>
      </c>
    </row>
    <row r="10" spans="1:8" x14ac:dyDescent="0.2">
      <c r="A10">
        <v>26</v>
      </c>
      <c r="B10">
        <v>3.0327051056051999E-12</v>
      </c>
      <c r="C10">
        <v>0</v>
      </c>
      <c r="D10">
        <v>6.19195046439628E-3</v>
      </c>
      <c r="E10">
        <v>9.8269050673886178E-12</v>
      </c>
      <c r="F10">
        <v>2.4567262668471544E-12</v>
      </c>
      <c r="G10">
        <v>1.2283631334235772E-12</v>
      </c>
      <c r="H10">
        <f t="shared" si="0"/>
        <v>1.1669449767523982E-11</v>
      </c>
    </row>
    <row r="11" spans="1:8" x14ac:dyDescent="0.2">
      <c r="A11">
        <v>27</v>
      </c>
      <c r="B11">
        <v>4.9923143279548698E-11</v>
      </c>
      <c r="C11">
        <v>0</v>
      </c>
      <c r="D11">
        <v>6.41025641025641E-3</v>
      </c>
      <c r="E11">
        <v>1.6176646676494583E-10</v>
      </c>
      <c r="F11">
        <v>4.0441616691236458E-11</v>
      </c>
      <c r="G11">
        <v>2.0220808345618229E-11</v>
      </c>
      <c r="H11">
        <f t="shared" si="0"/>
        <v>1.9209767928337315E-10</v>
      </c>
    </row>
    <row r="12" spans="1:8" x14ac:dyDescent="0.2">
      <c r="A12">
        <v>28</v>
      </c>
      <c r="B12">
        <v>5.1359809217661098E-11</v>
      </c>
      <c r="C12">
        <v>0</v>
      </c>
      <c r="D12">
        <v>6.4519536997499401E-3</v>
      </c>
      <c r="E12">
        <v>1.6642170995403396E-10</v>
      </c>
      <c r="F12">
        <v>4.160542748850849E-11</v>
      </c>
      <c r="G12">
        <v>2.0802713744254245E-11</v>
      </c>
      <c r="H12">
        <f t="shared" si="0"/>
        <v>1.9762578057041529E-10</v>
      </c>
    </row>
    <row r="13" spans="1:8" x14ac:dyDescent="0.2">
      <c r="A13">
        <v>29</v>
      </c>
      <c r="B13">
        <v>8.8115418091419995E-11</v>
      </c>
      <c r="C13">
        <v>0</v>
      </c>
      <c r="D13">
        <v>6.5009848893553702E-3</v>
      </c>
      <c r="E13">
        <v>2.8552128162980236E-10</v>
      </c>
      <c r="F13">
        <v>7.1380320407450591E-11</v>
      </c>
      <c r="G13">
        <v>3.5690160203725296E-11</v>
      </c>
      <c r="H13">
        <f t="shared" si="0"/>
        <v>3.3905652193539028E-10</v>
      </c>
    </row>
    <row r="14" spans="1:8" x14ac:dyDescent="0.2">
      <c r="A14">
        <v>30</v>
      </c>
      <c r="B14">
        <v>1.4531241195084801E-10</v>
      </c>
      <c r="C14">
        <v>0</v>
      </c>
      <c r="D14">
        <v>6.5146579804560298E-3</v>
      </c>
      <c r="E14">
        <v>4.7085728009459322E-10</v>
      </c>
      <c r="F14">
        <v>1.177143200236483E-10</v>
      </c>
      <c r="G14">
        <v>5.8857160011824152E-11</v>
      </c>
      <c r="H14">
        <f t="shared" si="0"/>
        <v>5.5914302011232938E-10</v>
      </c>
    </row>
    <row r="15" spans="1:8" x14ac:dyDescent="0.2">
      <c r="A15">
        <v>31</v>
      </c>
      <c r="B15">
        <v>1.5515982315707199E-9</v>
      </c>
      <c r="C15">
        <v>0</v>
      </c>
      <c r="D15">
        <v>6.6006600660065999E-3</v>
      </c>
      <c r="E15">
        <v>5.0276594635569702E-9</v>
      </c>
      <c r="F15">
        <v>1.2569148658892425E-9</v>
      </c>
      <c r="G15">
        <v>6.2845743294462127E-10</v>
      </c>
      <c r="H15">
        <f t="shared" si="0"/>
        <v>5.9703456129739019E-9</v>
      </c>
    </row>
    <row r="16" spans="1:8" x14ac:dyDescent="0.2">
      <c r="A16">
        <v>32</v>
      </c>
      <c r="B16">
        <v>2.5221317484109401E-9</v>
      </c>
      <c r="C16">
        <v>0</v>
      </c>
      <c r="D16">
        <v>6.6822911867976198E-3</v>
      </c>
      <c r="E16">
        <v>8.1724890472445686E-9</v>
      </c>
      <c r="F16">
        <v>2.0431222618111422E-9</v>
      </c>
      <c r="G16">
        <v>1.0215611309055711E-9</v>
      </c>
      <c r="H16">
        <f t="shared" si="0"/>
        <v>9.704830743602924E-9</v>
      </c>
    </row>
    <row r="17" spans="1:8" x14ac:dyDescent="0.2">
      <c r="A17">
        <v>33</v>
      </c>
      <c r="B17">
        <v>9.39042175798466E-9</v>
      </c>
      <c r="C17">
        <v>0</v>
      </c>
      <c r="D17">
        <v>6.9284064665126998E-3</v>
      </c>
      <c r="E17">
        <v>3.0427878723817043E-8</v>
      </c>
      <c r="F17">
        <v>7.6069696809542609E-9</v>
      </c>
      <c r="G17">
        <v>3.8034848404771304E-9</v>
      </c>
      <c r="H17">
        <f t="shared" si="0"/>
        <v>3.6133105984532739E-8</v>
      </c>
    </row>
    <row r="18" spans="1:8" x14ac:dyDescent="0.2">
      <c r="A18">
        <v>34</v>
      </c>
      <c r="B18">
        <v>9.7049916124697003E-9</v>
      </c>
      <c r="C18">
        <v>0</v>
      </c>
      <c r="D18">
        <v>8.1799591002044997E-3</v>
      </c>
      <c r="E18">
        <v>3.1447182609108541E-8</v>
      </c>
      <c r="F18">
        <v>7.8617956522771353E-9</v>
      </c>
      <c r="G18">
        <v>3.9308978261385677E-9</v>
      </c>
      <c r="H18">
        <f t="shared" si="0"/>
        <v>3.7343529348316391E-8</v>
      </c>
    </row>
    <row r="19" spans="1:8" x14ac:dyDescent="0.2">
      <c r="A19">
        <v>35</v>
      </c>
      <c r="B19">
        <v>9.5506767253430403E-8</v>
      </c>
      <c r="C19">
        <v>0</v>
      </c>
      <c r="D19">
        <v>8.3251618262679006E-3</v>
      </c>
      <c r="E19">
        <v>3.0947154517529275E-7</v>
      </c>
      <c r="F19">
        <v>7.7367886293823188E-8</v>
      </c>
      <c r="G19">
        <v>3.8683943146911594E-8</v>
      </c>
      <c r="H19">
        <f t="shared" si="0"/>
        <v>3.6749745989566007E-7</v>
      </c>
    </row>
    <row r="20" spans="1:8" x14ac:dyDescent="0.2">
      <c r="A20">
        <v>36</v>
      </c>
      <c r="B20">
        <v>5.6114252083010795E-7</v>
      </c>
      <c r="C20">
        <v>0</v>
      </c>
      <c r="D20">
        <v>8.6469138413083797E-3</v>
      </c>
      <c r="E20">
        <v>1.8182757932120769E-6</v>
      </c>
      <c r="F20">
        <v>4.5456894830301923E-7</v>
      </c>
      <c r="G20">
        <v>2.2728447415150961E-7</v>
      </c>
      <c r="H20">
        <f t="shared" si="0"/>
        <v>2.1592025044393409E-6</v>
      </c>
    </row>
    <row r="21" spans="1:8" x14ac:dyDescent="0.2">
      <c r="A21">
        <v>37</v>
      </c>
      <c r="B21">
        <v>3.86489701559778E-3</v>
      </c>
      <c r="C21">
        <v>0</v>
      </c>
      <c r="D21">
        <v>1.2448708117609701E-2</v>
      </c>
      <c r="E21">
        <v>1.2523464941354319E-2</v>
      </c>
      <c r="F21">
        <v>3.1308662353385797E-3</v>
      </c>
      <c r="G21">
        <v>1.5654331176692899E-3</v>
      </c>
      <c r="H21">
        <f t="shared" si="0"/>
        <v>1.4871614617858251E-2</v>
      </c>
    </row>
    <row r="22" spans="1:8" x14ac:dyDescent="0.2">
      <c r="A22">
        <v>38</v>
      </c>
      <c r="B22">
        <v>4.0727348648123404E-3</v>
      </c>
      <c r="C22">
        <v>0</v>
      </c>
      <c r="D22">
        <v>1.2770433057766499E-2</v>
      </c>
      <c r="E22">
        <v>1.3196924029040373E-2</v>
      </c>
      <c r="F22">
        <v>3.2992310072600933E-3</v>
      </c>
      <c r="G22">
        <v>1.6496155036300466E-3</v>
      </c>
      <c r="H22">
        <f t="shared" si="0"/>
        <v>1.5671347284485441E-2</v>
      </c>
    </row>
    <row r="23" spans="1:8" x14ac:dyDescent="0.2">
      <c r="A23">
        <v>39</v>
      </c>
      <c r="B23">
        <v>4.2124890227538203E-3</v>
      </c>
      <c r="C23">
        <v>0</v>
      </c>
      <c r="D23">
        <v>1.31993083295314E-2</v>
      </c>
      <c r="E23">
        <v>1.3649770842377238E-2</v>
      </c>
      <c r="F23">
        <v>3.4124427105943094E-3</v>
      </c>
      <c r="G23">
        <v>1.7062213552971547E-3</v>
      </c>
      <c r="H23">
        <f t="shared" si="0"/>
        <v>1.620910287532297E-2</v>
      </c>
    </row>
    <row r="24" spans="1:8" x14ac:dyDescent="0.2">
      <c r="A24">
        <v>40</v>
      </c>
      <c r="B24">
        <v>6.8383598306987203E-3</v>
      </c>
      <c r="C24">
        <v>0</v>
      </c>
      <c r="D24">
        <v>1.7247065107656199E-2</v>
      </c>
      <c r="E24">
        <v>2.2158406614846173E-2</v>
      </c>
      <c r="F24">
        <v>5.5396016537115431E-3</v>
      </c>
      <c r="G24">
        <v>2.7698008268557716E-3</v>
      </c>
      <c r="H24">
        <f t="shared" si="0"/>
        <v>2.6313107855129827E-2</v>
      </c>
    </row>
    <row r="25" spans="1:8" x14ac:dyDescent="0.2">
      <c r="A25">
        <v>41</v>
      </c>
      <c r="B25">
        <v>9.3539603593521693E-3</v>
      </c>
      <c r="C25">
        <v>2.0622926874955699E-3</v>
      </c>
      <c r="D25">
        <v>2.0937390570104498E-2</v>
      </c>
      <c r="E25">
        <v>3.0309732484565668E-2</v>
      </c>
      <c r="F25">
        <v>7.5774331211414169E-3</v>
      </c>
      <c r="G25">
        <v>3.7887165605707085E-3</v>
      </c>
      <c r="H25">
        <f t="shared" si="0"/>
        <v>3.5992807325421726E-2</v>
      </c>
    </row>
    <row r="26" spans="1:8" x14ac:dyDescent="0.2">
      <c r="A26">
        <v>42</v>
      </c>
      <c r="B26">
        <v>9.6707145599997605E-3</v>
      </c>
      <c r="C26">
        <v>2.0793481230363701E-3</v>
      </c>
      <c r="D26">
        <v>2.1460307212900698E-2</v>
      </c>
      <c r="E26">
        <v>3.1336114328849633E-2</v>
      </c>
      <c r="F26">
        <v>7.8340285822124083E-3</v>
      </c>
      <c r="G26">
        <v>3.9170142911062042E-3</v>
      </c>
      <c r="H26">
        <f t="shared" si="0"/>
        <v>3.7211635765508934E-2</v>
      </c>
    </row>
    <row r="27" spans="1:8" x14ac:dyDescent="0.2">
      <c r="A27">
        <v>43</v>
      </c>
      <c r="B27">
        <v>1.21501433662597E-2</v>
      </c>
      <c r="C27">
        <v>2.24767504856615E-3</v>
      </c>
      <c r="D27">
        <v>2.46561467144128E-2</v>
      </c>
      <c r="E27">
        <v>3.9370232600168614E-2</v>
      </c>
      <c r="F27">
        <v>9.8425581500421536E-3</v>
      </c>
      <c r="G27">
        <v>4.9212790750210768E-3</v>
      </c>
      <c r="H27">
        <f t="shared" si="0"/>
        <v>4.6752151212700224E-2</v>
      </c>
    </row>
    <row r="28" spans="1:8" x14ac:dyDescent="0.2">
      <c r="A28">
        <v>44</v>
      </c>
      <c r="B28">
        <v>1.69221498421189E-2</v>
      </c>
      <c r="C28">
        <v>6.2714247544694004E-3</v>
      </c>
      <c r="D28">
        <v>3.09908010384514E-2</v>
      </c>
      <c r="E28">
        <v>5.4833013512351626E-2</v>
      </c>
      <c r="F28">
        <v>1.3708253378087907E-2</v>
      </c>
      <c r="G28">
        <v>6.8541266890439533E-3</v>
      </c>
      <c r="H28">
        <f t="shared" si="0"/>
        <v>6.5114203545917557E-2</v>
      </c>
    </row>
    <row r="29" spans="1:8" x14ac:dyDescent="0.2">
      <c r="A29">
        <v>45</v>
      </c>
      <c r="B29">
        <v>1.97245467722603E-2</v>
      </c>
      <c r="C29">
        <v>7.1837143161496498E-3</v>
      </c>
      <c r="D29">
        <v>3.4684935741801703E-2</v>
      </c>
      <c r="E29">
        <v>6.3913648666340736E-2</v>
      </c>
      <c r="F29">
        <v>1.5978412166585184E-2</v>
      </c>
      <c r="G29">
        <v>7.989206083292592E-3</v>
      </c>
      <c r="H29">
        <f t="shared" si="0"/>
        <v>7.5897457791279627E-2</v>
      </c>
    </row>
    <row r="30" spans="1:8" x14ac:dyDescent="0.2">
      <c r="A30">
        <v>46</v>
      </c>
      <c r="B30">
        <v>2.023092590308E-2</v>
      </c>
      <c r="C30">
        <v>8.3803934165420299E-3</v>
      </c>
      <c r="D30">
        <v>3.51672365132535E-2</v>
      </c>
      <c r="E30">
        <v>6.5554474092286305E-2</v>
      </c>
      <c r="F30">
        <v>1.6388618523071576E-2</v>
      </c>
      <c r="G30">
        <v>8.1943092615357881E-3</v>
      </c>
      <c r="H30">
        <f t="shared" si="0"/>
        <v>7.7845937984589983E-2</v>
      </c>
    </row>
    <row r="31" spans="1:8" x14ac:dyDescent="0.2">
      <c r="A31">
        <v>47</v>
      </c>
      <c r="B31">
        <v>2.73693031706853E-2</v>
      </c>
      <c r="C31">
        <v>1.3064244502270801E-2</v>
      </c>
      <c r="D31">
        <v>4.42512934041802E-2</v>
      </c>
      <c r="E31">
        <v>8.868503024636501E-2</v>
      </c>
      <c r="F31">
        <v>2.2171257561591252E-2</v>
      </c>
      <c r="G31">
        <v>1.1085628780795626E-2</v>
      </c>
      <c r="H31">
        <f t="shared" si="0"/>
        <v>0.10531347341755844</v>
      </c>
    </row>
    <row r="32" spans="1:8" x14ac:dyDescent="0.2">
      <c r="A32">
        <v>48</v>
      </c>
      <c r="B32">
        <v>3.2481591126520402E-2</v>
      </c>
      <c r="C32">
        <v>1.68106404761671E-2</v>
      </c>
      <c r="D32">
        <v>5.0787370770876902E-2</v>
      </c>
      <c r="E32">
        <v>0.10525042868431184</v>
      </c>
      <c r="F32">
        <v>2.6312607171077959E-2</v>
      </c>
      <c r="G32">
        <v>1.315630358553898E-2</v>
      </c>
      <c r="H32">
        <f t="shared" si="0"/>
        <v>0.12498488406262029</v>
      </c>
    </row>
    <row r="33" spans="1:8" x14ac:dyDescent="0.2">
      <c r="A33">
        <v>49</v>
      </c>
      <c r="B33">
        <v>3.52303983558096E-2</v>
      </c>
      <c r="C33">
        <v>1.8843184630047201E-2</v>
      </c>
      <c r="D33">
        <v>5.41498808301734E-2</v>
      </c>
      <c r="E33">
        <v>0.1141574165879003</v>
      </c>
      <c r="F33">
        <v>2.8539354146975074E-2</v>
      </c>
      <c r="G33">
        <v>1.4269677073487537E-2</v>
      </c>
      <c r="H33">
        <f t="shared" si="0"/>
        <v>0.13556193219813159</v>
      </c>
    </row>
    <row r="34" spans="1:8" x14ac:dyDescent="0.2">
      <c r="A34">
        <v>50</v>
      </c>
      <c r="B34">
        <v>3.8212467410718903E-2</v>
      </c>
      <c r="C34">
        <v>2.11318895560897E-2</v>
      </c>
      <c r="D34">
        <v>5.7922333404303201E-2</v>
      </c>
      <c r="E34">
        <v>0.12382024514740281</v>
      </c>
      <c r="F34">
        <v>3.0955061286850702E-2</v>
      </c>
      <c r="G34">
        <v>1.5477530643425351E-2</v>
      </c>
      <c r="H34">
        <f t="shared" si="0"/>
        <v>0.1470365411125408</v>
      </c>
    </row>
    <row r="35" spans="1:8" x14ac:dyDescent="0.2">
      <c r="A35">
        <v>51</v>
      </c>
      <c r="B35">
        <v>4.33745569916806E-2</v>
      </c>
      <c r="C35">
        <v>2.4485821632815499E-2</v>
      </c>
      <c r="D35">
        <v>6.4989856985196603E-2</v>
      </c>
      <c r="E35">
        <v>0.14054701629561292</v>
      </c>
      <c r="F35">
        <v>3.513675407390323E-2</v>
      </c>
      <c r="G35">
        <v>1.7568377036951615E-2</v>
      </c>
      <c r="H35">
        <f t="shared" si="0"/>
        <v>0.16689958185104031</v>
      </c>
    </row>
    <row r="36" spans="1:8" x14ac:dyDescent="0.2">
      <c r="A36">
        <v>52</v>
      </c>
      <c r="B36">
        <v>5.35422435147518E-2</v>
      </c>
      <c r="C36">
        <v>3.2839079585292801E-2</v>
      </c>
      <c r="D36">
        <v>7.6918521462979797E-2</v>
      </c>
      <c r="E36">
        <v>0.17349347390948239</v>
      </c>
      <c r="F36">
        <v>4.3373368477370597E-2</v>
      </c>
      <c r="G36">
        <v>2.1686684238685298E-2</v>
      </c>
      <c r="H36">
        <f t="shared" si="0"/>
        <v>0.20602350026751032</v>
      </c>
    </row>
    <row r="37" spans="1:8" x14ac:dyDescent="0.2">
      <c r="A37">
        <v>53</v>
      </c>
      <c r="B37">
        <v>5.6448577759492802E-2</v>
      </c>
      <c r="C37">
        <v>3.51602772167584E-2</v>
      </c>
      <c r="D37">
        <v>8.0419427619939698E-2</v>
      </c>
      <c r="E37">
        <v>0.1829108981965929</v>
      </c>
      <c r="F37">
        <v>4.5727724549148224E-2</v>
      </c>
      <c r="G37">
        <v>2.2863862274574112E-2</v>
      </c>
      <c r="H37">
        <f t="shared" si="0"/>
        <v>0.21720669160845402</v>
      </c>
    </row>
    <row r="38" spans="1:8" x14ac:dyDescent="0.2">
      <c r="A38">
        <v>54</v>
      </c>
      <c r="B38">
        <v>6.4416023534483099E-2</v>
      </c>
      <c r="C38">
        <v>4.1235201794030001E-2</v>
      </c>
      <c r="D38">
        <v>9.0527188297030006E-2</v>
      </c>
      <c r="E38">
        <v>0.20872789343153572</v>
      </c>
      <c r="F38">
        <v>5.218197335788393E-2</v>
      </c>
      <c r="G38">
        <v>2.6090986678941965E-2</v>
      </c>
      <c r="H38">
        <f t="shared" si="0"/>
        <v>0.24786437344994863</v>
      </c>
    </row>
    <row r="39" spans="1:8" x14ac:dyDescent="0.2">
      <c r="A39">
        <v>55</v>
      </c>
      <c r="B39">
        <v>6.7501397469911101E-2</v>
      </c>
      <c r="C39">
        <v>4.3870668241143003E-2</v>
      </c>
      <c r="D39">
        <v>9.3964258091791097E-2</v>
      </c>
      <c r="E39">
        <v>0.21872546184160227</v>
      </c>
      <c r="F39">
        <v>5.4681365460400568E-2</v>
      </c>
      <c r="G39">
        <v>2.7340682730200284E-2</v>
      </c>
      <c r="H39">
        <f t="shared" si="0"/>
        <v>0.25973648593690268</v>
      </c>
    </row>
    <row r="40" spans="1:8" x14ac:dyDescent="0.2">
      <c r="A40">
        <v>56</v>
      </c>
      <c r="B40">
        <v>7.07821179196928E-2</v>
      </c>
      <c r="C40">
        <v>4.6783054802484403E-2</v>
      </c>
      <c r="D40">
        <v>9.7490870080803205E-2</v>
      </c>
      <c r="E40">
        <v>0.22935601354049939</v>
      </c>
      <c r="F40">
        <v>5.7339003385124848E-2</v>
      </c>
      <c r="G40">
        <v>2.8669501692562424E-2</v>
      </c>
      <c r="H40">
        <f t="shared" si="0"/>
        <v>0.27236026607934299</v>
      </c>
    </row>
    <row r="41" spans="1:8" x14ac:dyDescent="0.2">
      <c r="A41">
        <v>57</v>
      </c>
      <c r="B41">
        <v>8.1778384182231406E-2</v>
      </c>
      <c r="C41">
        <v>5.37499946501677E-2</v>
      </c>
      <c r="D41">
        <v>0.11299845014567</v>
      </c>
      <c r="E41">
        <v>0.26498732647559964</v>
      </c>
      <c r="F41">
        <v>6.624683161889991E-2</v>
      </c>
      <c r="G41">
        <v>3.3123415809449955E-2</v>
      </c>
      <c r="H41">
        <f t="shared" si="0"/>
        <v>0.31467245018977452</v>
      </c>
    </row>
    <row r="42" spans="1:8" x14ac:dyDescent="0.2">
      <c r="A42">
        <v>58</v>
      </c>
      <c r="B42">
        <v>9.30980129448397E-2</v>
      </c>
      <c r="C42">
        <v>6.2582748452916295E-2</v>
      </c>
      <c r="D42">
        <v>0.12671113707100301</v>
      </c>
      <c r="E42">
        <v>0.30166643419452677</v>
      </c>
      <c r="F42">
        <v>7.5416608548631692E-2</v>
      </c>
      <c r="G42">
        <v>3.7708304274315846E-2</v>
      </c>
      <c r="H42">
        <f t="shared" si="0"/>
        <v>0.35822889060600044</v>
      </c>
    </row>
    <row r="43" spans="1:8" x14ac:dyDescent="0.2">
      <c r="A43">
        <v>59</v>
      </c>
      <c r="B43">
        <v>0.101882412616477</v>
      </c>
      <c r="C43">
        <v>7.0526515255459901E-2</v>
      </c>
      <c r="D43">
        <v>0.13630938301982601</v>
      </c>
      <c r="E43">
        <v>0.33013061341446875</v>
      </c>
      <c r="F43">
        <v>8.2532653353617189E-2</v>
      </c>
      <c r="G43">
        <v>4.1266326676808594E-2</v>
      </c>
      <c r="H43">
        <f t="shared" si="0"/>
        <v>0.39203010342968159</v>
      </c>
    </row>
    <row r="44" spans="1:8" x14ac:dyDescent="0.2">
      <c r="A44">
        <v>60</v>
      </c>
      <c r="B44">
        <v>0.108242197748964</v>
      </c>
      <c r="C44">
        <v>7.5708166975087199E-2</v>
      </c>
      <c r="D44">
        <v>0.143585432463534</v>
      </c>
      <c r="E44">
        <v>0.35073828958793812</v>
      </c>
      <c r="F44">
        <v>8.7684572396984531E-2</v>
      </c>
      <c r="G44">
        <v>4.3842286198492265E-2</v>
      </c>
      <c r="H44">
        <f t="shared" si="0"/>
        <v>0.4165017188856765</v>
      </c>
    </row>
    <row r="45" spans="1:8" x14ac:dyDescent="0.2">
      <c r="A45">
        <v>61</v>
      </c>
      <c r="B45">
        <v>0.114757256469057</v>
      </c>
      <c r="C45">
        <v>8.0397564989856105E-2</v>
      </c>
      <c r="D45">
        <v>0.151831528972484</v>
      </c>
      <c r="E45">
        <v>0.37184910033985924</v>
      </c>
      <c r="F45">
        <v>9.296227508496481E-2</v>
      </c>
      <c r="G45">
        <v>4.6481137542482405E-2</v>
      </c>
      <c r="H45">
        <f t="shared" si="0"/>
        <v>0.44157080665358284</v>
      </c>
    </row>
    <row r="46" spans="1:8" x14ac:dyDescent="0.2">
      <c r="A46">
        <v>62</v>
      </c>
      <c r="B46">
        <v>0.12432693269464599</v>
      </c>
      <c r="C46">
        <v>8.6329059662417496E-2</v>
      </c>
      <c r="D46">
        <v>0.16589429497507399</v>
      </c>
      <c r="E46">
        <v>0.40285781913045277</v>
      </c>
      <c r="F46">
        <v>0.10071445478261319</v>
      </c>
      <c r="G46">
        <v>5.0357227391306596E-2</v>
      </c>
      <c r="H46">
        <f t="shared" si="0"/>
        <v>0.47839366021741259</v>
      </c>
    </row>
    <row r="47" spans="1:8" x14ac:dyDescent="0.2">
      <c r="A47">
        <v>63</v>
      </c>
      <c r="B47">
        <v>0.139929102184736</v>
      </c>
      <c r="C47">
        <v>0.1011301194973</v>
      </c>
      <c r="D47">
        <v>0.18181776285174001</v>
      </c>
      <c r="E47">
        <v>0.45341368694003503</v>
      </c>
      <c r="F47">
        <v>0.11335342173500876</v>
      </c>
      <c r="G47">
        <v>5.6676710867504379E-2</v>
      </c>
      <c r="H47">
        <f t="shared" si="0"/>
        <v>0.53842875324129158</v>
      </c>
    </row>
    <row r="48" spans="1:8" x14ac:dyDescent="0.2">
      <c r="A48">
        <v>64</v>
      </c>
      <c r="B48">
        <v>0.153083455561349</v>
      </c>
      <c r="C48">
        <v>0.110529072362142</v>
      </c>
      <c r="D48">
        <v>0.19953099434810501</v>
      </c>
      <c r="E48">
        <v>0.49603787140688005</v>
      </c>
      <c r="F48">
        <v>0.12400946785172001</v>
      </c>
      <c r="G48">
        <v>6.2004733925860006E-2</v>
      </c>
      <c r="H48">
        <f t="shared" si="0"/>
        <v>0.58904497229566999</v>
      </c>
    </row>
    <row r="49" spans="1:8" x14ac:dyDescent="0.2">
      <c r="A49">
        <v>65</v>
      </c>
      <c r="B49">
        <v>0.157195402795724</v>
      </c>
      <c r="C49">
        <v>0.113804734669161</v>
      </c>
      <c r="D49">
        <v>0.20424379090216399</v>
      </c>
      <c r="E49">
        <v>0.50936185567413728</v>
      </c>
      <c r="F49">
        <v>0.12734046391853432</v>
      </c>
      <c r="G49">
        <v>6.367023195926716E-2</v>
      </c>
      <c r="H49">
        <f t="shared" si="0"/>
        <v>0.60486720361303792</v>
      </c>
    </row>
    <row r="50" spans="1:8" x14ac:dyDescent="0.2">
      <c r="A50">
        <v>66</v>
      </c>
      <c r="B50">
        <v>0.16121968282292701</v>
      </c>
      <c r="C50">
        <v>0.118083332184414</v>
      </c>
      <c r="D50">
        <v>0.207813069485833</v>
      </c>
      <c r="E50">
        <v>0.52240177100214613</v>
      </c>
      <c r="F50">
        <v>0.13060044275053653</v>
      </c>
      <c r="G50">
        <v>6.5300221375268266E-2</v>
      </c>
      <c r="H50">
        <f t="shared" si="0"/>
        <v>0.62035210306504851</v>
      </c>
    </row>
    <row r="51" spans="1:8" x14ac:dyDescent="0.2">
      <c r="A51">
        <v>67</v>
      </c>
      <c r="B51">
        <v>0.175780358291074</v>
      </c>
      <c r="C51">
        <v>0.131309084636069</v>
      </c>
      <c r="D51">
        <v>0.22358393704218901</v>
      </c>
      <c r="E51">
        <v>0.56958287518470418</v>
      </c>
      <c r="F51">
        <v>0.14239571879617605</v>
      </c>
      <c r="G51">
        <v>7.1197859398088023E-2</v>
      </c>
      <c r="H51">
        <f t="shared" si="0"/>
        <v>0.67637966428183627</v>
      </c>
    </row>
    <row r="52" spans="1:8" x14ac:dyDescent="0.2">
      <c r="A52">
        <v>68</v>
      </c>
      <c r="B52">
        <v>0.183585431938631</v>
      </c>
      <c r="C52">
        <v>0.13775421056277601</v>
      </c>
      <c r="D52">
        <v>0.23269207045031501</v>
      </c>
      <c r="E52">
        <v>0.59487373437070257</v>
      </c>
      <c r="F52">
        <v>0.14871843359267564</v>
      </c>
      <c r="G52">
        <v>7.4359216796337821E-2</v>
      </c>
      <c r="H52">
        <f t="shared" si="0"/>
        <v>0.70641255956520921</v>
      </c>
    </row>
    <row r="53" spans="1:8" x14ac:dyDescent="0.2">
      <c r="A53">
        <v>69</v>
      </c>
      <c r="B53">
        <v>0.18815641513181799</v>
      </c>
      <c r="C53">
        <v>0.141324723955464</v>
      </c>
      <c r="D53">
        <v>0.23838479984744901</v>
      </c>
      <c r="E53">
        <v>0.60968513750418118</v>
      </c>
      <c r="F53">
        <v>0.1524212843760453</v>
      </c>
      <c r="G53">
        <v>7.6210642188022648E-2</v>
      </c>
      <c r="H53">
        <f t="shared" si="0"/>
        <v>0.72400110078621505</v>
      </c>
    </row>
    <row r="54" spans="1:8" x14ac:dyDescent="0.2">
      <c r="A54">
        <v>70</v>
      </c>
      <c r="B54">
        <v>0.204858176115951</v>
      </c>
      <c r="C54">
        <v>0.15507246170533201</v>
      </c>
      <c r="D54">
        <v>0.25833270243312301</v>
      </c>
      <c r="E54">
        <v>0.66380402276801476</v>
      </c>
      <c r="F54">
        <v>0.16595100569200369</v>
      </c>
      <c r="G54">
        <v>8.2975502846001845E-2</v>
      </c>
      <c r="H54">
        <f t="shared" si="0"/>
        <v>0.78826727703701738</v>
      </c>
    </row>
    <row r="55" spans="1:8" x14ac:dyDescent="0.2">
      <c r="A55">
        <v>71</v>
      </c>
      <c r="B55">
        <v>0.20565058404168601</v>
      </c>
      <c r="C55">
        <v>0.155815480862633</v>
      </c>
      <c r="D55">
        <v>0.25918207730076298</v>
      </c>
      <c r="E55">
        <v>0.66637167019487864</v>
      </c>
      <c r="F55">
        <v>0.16659291754871966</v>
      </c>
      <c r="G55">
        <v>8.329645877435983E-2</v>
      </c>
      <c r="H55">
        <f t="shared" si="0"/>
        <v>0.79131635835641834</v>
      </c>
    </row>
    <row r="56" spans="1:8" x14ac:dyDescent="0.2">
      <c r="A56">
        <v>72</v>
      </c>
      <c r="B56">
        <v>0.210466032942843</v>
      </c>
      <c r="C56">
        <v>0.16027474520811499</v>
      </c>
      <c r="D56">
        <v>0.26419261047518899</v>
      </c>
      <c r="E56">
        <v>0.68197521803771688</v>
      </c>
      <c r="F56">
        <v>0.17049380450942922</v>
      </c>
      <c r="G56">
        <v>8.524690225471461E-2</v>
      </c>
      <c r="H56">
        <f t="shared" si="0"/>
        <v>0.80984557141978875</v>
      </c>
    </row>
    <row r="57" spans="1:8" x14ac:dyDescent="0.2">
      <c r="A57">
        <v>73</v>
      </c>
      <c r="B57">
        <v>0.21566032261258</v>
      </c>
      <c r="C57">
        <v>0.16385274123541799</v>
      </c>
      <c r="D57">
        <v>0.27087444692748702</v>
      </c>
      <c r="E57">
        <v>0.69880632745969173</v>
      </c>
      <c r="F57">
        <v>0.17470158186492293</v>
      </c>
      <c r="G57">
        <v>8.7350790932461467E-2</v>
      </c>
      <c r="H57">
        <f t="shared" si="0"/>
        <v>0.82983251385838386</v>
      </c>
    </row>
    <row r="58" spans="1:8" x14ac:dyDescent="0.2">
      <c r="A58">
        <v>74</v>
      </c>
      <c r="B58">
        <v>0.225897838386734</v>
      </c>
      <c r="C58">
        <v>0.172568009693289</v>
      </c>
      <c r="D58">
        <v>0.282707031314054</v>
      </c>
      <c r="E58">
        <v>0.73197905350304004</v>
      </c>
      <c r="F58">
        <v>0.18299476337576001</v>
      </c>
      <c r="G58">
        <v>9.1497381687880006E-2</v>
      </c>
      <c r="H58">
        <f t="shared" si="0"/>
        <v>0.86922512603485991</v>
      </c>
    </row>
    <row r="59" spans="1:8" x14ac:dyDescent="0.2">
      <c r="A59">
        <v>75</v>
      </c>
      <c r="B59">
        <v>0.22654070695827799</v>
      </c>
      <c r="C59">
        <v>0.17309374090634999</v>
      </c>
      <c r="D59">
        <v>0.283385564369316</v>
      </c>
      <c r="E59">
        <v>0.73406214704606021</v>
      </c>
      <c r="F59">
        <v>0.18351553676151505</v>
      </c>
      <c r="G59">
        <v>9.1757768380757526E-2</v>
      </c>
      <c r="H59">
        <f t="shared" si="0"/>
        <v>0.87169879961719643</v>
      </c>
    </row>
    <row r="60" spans="1:8" x14ac:dyDescent="0.2">
      <c r="A60">
        <v>76</v>
      </c>
      <c r="B60">
        <v>0.227275002210058</v>
      </c>
      <c r="C60">
        <v>0.173694454291803</v>
      </c>
      <c r="D60">
        <v>0.28431247603467502</v>
      </c>
      <c r="E60">
        <v>0.73644149138697212</v>
      </c>
      <c r="F60">
        <v>0.18411037284674303</v>
      </c>
      <c r="G60">
        <v>9.2055186423371516E-2</v>
      </c>
      <c r="H60">
        <f t="shared" si="0"/>
        <v>0.87452427102202934</v>
      </c>
    </row>
    <row r="61" spans="1:8" x14ac:dyDescent="0.2">
      <c r="A61">
        <v>77</v>
      </c>
      <c r="B61">
        <v>0.23318878941734</v>
      </c>
      <c r="C61">
        <v>0.176512580747479</v>
      </c>
      <c r="D61">
        <v>0.29392058867711202</v>
      </c>
      <c r="E61">
        <v>0.75560399596655947</v>
      </c>
      <c r="F61">
        <v>0.18890099899163987</v>
      </c>
      <c r="G61">
        <v>9.4450499495819934E-2</v>
      </c>
      <c r="H61">
        <f t="shared" si="0"/>
        <v>0.8972797452102893</v>
      </c>
    </row>
    <row r="62" spans="1:8" x14ac:dyDescent="0.2">
      <c r="A62">
        <v>78</v>
      </c>
      <c r="B62">
        <v>0.23400312544061899</v>
      </c>
      <c r="C62">
        <v>0.177272113600801</v>
      </c>
      <c r="D62">
        <v>0.29485187894501402</v>
      </c>
      <c r="E62">
        <v>0.75824269722997173</v>
      </c>
      <c r="F62">
        <v>0.18956067430749293</v>
      </c>
      <c r="G62">
        <v>9.4780337153746466E-2</v>
      </c>
      <c r="H62">
        <f t="shared" si="0"/>
        <v>0.90041320296059135</v>
      </c>
    </row>
    <row r="63" spans="1:8" x14ac:dyDescent="0.2">
      <c r="A63">
        <v>79</v>
      </c>
      <c r="B63">
        <v>0.24055278960050999</v>
      </c>
      <c r="C63">
        <v>0.182840676691958</v>
      </c>
      <c r="D63">
        <v>0.30241685987045103</v>
      </c>
      <c r="E63">
        <v>0.77946564033893662</v>
      </c>
      <c r="F63">
        <v>0.19486641008473415</v>
      </c>
      <c r="G63">
        <v>9.7433205042367077E-2</v>
      </c>
      <c r="H63">
        <f t="shared" si="0"/>
        <v>0.92561544790248718</v>
      </c>
    </row>
    <row r="64" spans="1:8" x14ac:dyDescent="0.2">
      <c r="A64">
        <v>80</v>
      </c>
      <c r="B64">
        <v>0.24122631813940501</v>
      </c>
      <c r="C64">
        <v>0.183335489448021</v>
      </c>
      <c r="D64">
        <v>0.30329764915031898</v>
      </c>
      <c r="E64">
        <v>0.78164808168467292</v>
      </c>
      <c r="F64">
        <v>0.19541202042116823</v>
      </c>
      <c r="G64">
        <v>9.7706010210584116E-2</v>
      </c>
      <c r="H64">
        <f t="shared" si="0"/>
        <v>0.92820709700054893</v>
      </c>
    </row>
    <row r="65" spans="1:8" x14ac:dyDescent="0.2">
      <c r="A65">
        <v>81</v>
      </c>
      <c r="B65">
        <v>0.241667119133815</v>
      </c>
      <c r="C65">
        <v>0.18361841262404699</v>
      </c>
      <c r="D65">
        <v>0.30391017349150701</v>
      </c>
      <c r="E65">
        <v>0.78307641361106806</v>
      </c>
      <c r="F65">
        <v>0.19576910340276701</v>
      </c>
      <c r="G65">
        <v>9.7884551701383507E-2</v>
      </c>
      <c r="H65">
        <f t="shared" si="0"/>
        <v>0.92990324116314327</v>
      </c>
    </row>
    <row r="66" spans="1:8" x14ac:dyDescent="0.2">
      <c r="A66">
        <v>82</v>
      </c>
      <c r="B66">
        <v>0.241827348355136</v>
      </c>
      <c r="C66">
        <v>0.18373112242763801</v>
      </c>
      <c r="D66">
        <v>0.30416086808975201</v>
      </c>
      <c r="E66">
        <v>0.78359560597963462</v>
      </c>
      <c r="F66">
        <v>0.19589890149490866</v>
      </c>
      <c r="G66">
        <v>9.7949450747454328E-2</v>
      </c>
      <c r="H66">
        <f t="shared" ref="H66:H83" si="1">B66/B$84*0.95</f>
        <v>0.9305197821008161</v>
      </c>
    </row>
    <row r="67" spans="1:8" x14ac:dyDescent="0.2">
      <c r="A67">
        <v>83</v>
      </c>
      <c r="B67">
        <v>0.24209148251920401</v>
      </c>
      <c r="C67">
        <v>0.18392614366097501</v>
      </c>
      <c r="D67">
        <v>0.304521122667962</v>
      </c>
      <c r="E67">
        <v>0.78445148258648079</v>
      </c>
      <c r="F67">
        <v>0.1961128706466202</v>
      </c>
      <c r="G67">
        <v>9.8056435323310098E-2</v>
      </c>
      <c r="H67">
        <f t="shared" si="1"/>
        <v>0.93153613557144577</v>
      </c>
    </row>
    <row r="68" spans="1:8" x14ac:dyDescent="0.2">
      <c r="A68">
        <v>84</v>
      </c>
      <c r="B68">
        <v>0.24255378265473801</v>
      </c>
      <c r="C68">
        <v>0.18421766144212101</v>
      </c>
      <c r="D68">
        <v>0.30523594157591899</v>
      </c>
      <c r="E68">
        <v>0.78594947839759244</v>
      </c>
      <c r="F68">
        <v>0.19648736959939811</v>
      </c>
      <c r="G68">
        <v>9.8243684799699055E-2</v>
      </c>
      <c r="H68">
        <f t="shared" si="1"/>
        <v>0.93331500559714098</v>
      </c>
    </row>
    <row r="69" spans="1:8" x14ac:dyDescent="0.2">
      <c r="A69">
        <v>85</v>
      </c>
      <c r="B69">
        <v>0.242932490585966</v>
      </c>
      <c r="C69">
        <v>0.18450051280049001</v>
      </c>
      <c r="D69">
        <v>0.30570346872429299</v>
      </c>
      <c r="E69">
        <v>0.7871766095425119</v>
      </c>
      <c r="F69">
        <v>0.19679415238562797</v>
      </c>
      <c r="G69">
        <v>9.8397076192813987E-2</v>
      </c>
      <c r="H69">
        <f t="shared" si="1"/>
        <v>0.93477222383173275</v>
      </c>
    </row>
    <row r="70" spans="1:8" x14ac:dyDescent="0.2">
      <c r="A70">
        <v>86</v>
      </c>
      <c r="B70">
        <v>0.24353879431092701</v>
      </c>
      <c r="C70">
        <v>0.184965776834705</v>
      </c>
      <c r="D70">
        <v>0.306497276315703</v>
      </c>
      <c r="E70">
        <v>0.78914122164283906</v>
      </c>
      <c r="F70">
        <v>0.19728530541070977</v>
      </c>
      <c r="G70">
        <v>9.8642652705354883E-2</v>
      </c>
      <c r="H70">
        <f t="shared" si="1"/>
        <v>0.93710520070087133</v>
      </c>
    </row>
    <row r="71" spans="1:8" x14ac:dyDescent="0.2">
      <c r="A71">
        <v>87</v>
      </c>
      <c r="B71">
        <v>0.24385124496614999</v>
      </c>
      <c r="C71">
        <v>0.18519917822809701</v>
      </c>
      <c r="D71">
        <v>0.30686328038441901</v>
      </c>
      <c r="E71">
        <v>0.79015365866529963</v>
      </c>
      <c r="F71">
        <v>0.19753841466632491</v>
      </c>
      <c r="G71">
        <v>9.8769207333162454E-2</v>
      </c>
      <c r="H71">
        <f t="shared" si="1"/>
        <v>0.93830746966504319</v>
      </c>
    </row>
    <row r="72" spans="1:8" x14ac:dyDescent="0.2">
      <c r="A72">
        <v>88</v>
      </c>
      <c r="B72">
        <v>0.24438744329161499</v>
      </c>
      <c r="C72">
        <v>0.18559930642571601</v>
      </c>
      <c r="D72">
        <v>0.30758142234846297</v>
      </c>
      <c r="E72">
        <v>0.79189110752964798</v>
      </c>
      <c r="F72">
        <v>0.19797277688241199</v>
      </c>
      <c r="G72">
        <v>9.8986388441205997E-2</v>
      </c>
      <c r="H72">
        <f t="shared" si="1"/>
        <v>0.9403706901914568</v>
      </c>
    </row>
    <row r="73" spans="1:8" x14ac:dyDescent="0.2">
      <c r="A73">
        <v>89</v>
      </c>
      <c r="B73">
        <v>0.244845189832744</v>
      </c>
      <c r="C73">
        <v>0.18592029572931401</v>
      </c>
      <c r="D73">
        <v>0.30827561661196901</v>
      </c>
      <c r="E73">
        <v>0.7933743482826926</v>
      </c>
      <c r="F73">
        <v>0.19834358707067315</v>
      </c>
      <c r="G73">
        <v>9.9171793535336575E-2</v>
      </c>
      <c r="H73">
        <f t="shared" si="1"/>
        <v>0.94213203858569738</v>
      </c>
    </row>
    <row r="74" spans="1:8" x14ac:dyDescent="0.2">
      <c r="A74">
        <v>90</v>
      </c>
      <c r="B74">
        <v>0.24508612423368401</v>
      </c>
      <c r="C74">
        <v>0.18609594514563699</v>
      </c>
      <c r="D74">
        <v>0.30862036260783299</v>
      </c>
      <c r="E74">
        <v>0.79415505046211976</v>
      </c>
      <c r="F74">
        <v>0.19853876261552994</v>
      </c>
      <c r="G74">
        <v>9.926938130776497E-2</v>
      </c>
      <c r="H74">
        <f t="shared" si="1"/>
        <v>0.9430591224237671</v>
      </c>
    </row>
    <row r="75" spans="1:8" x14ac:dyDescent="0.2">
      <c r="A75">
        <v>91</v>
      </c>
      <c r="B75">
        <v>0.24560055190642499</v>
      </c>
      <c r="C75">
        <v>0.18643459638756299</v>
      </c>
      <c r="D75">
        <v>0.309439104441878</v>
      </c>
      <c r="E75">
        <v>0.79582195565996439</v>
      </c>
      <c r="F75">
        <v>0.1989554889149911</v>
      </c>
      <c r="G75">
        <v>9.9477744457495548E-2</v>
      </c>
      <c r="H75">
        <f t="shared" si="1"/>
        <v>0.94503857234620758</v>
      </c>
    </row>
    <row r="76" spans="1:8" x14ac:dyDescent="0.2">
      <c r="A76">
        <v>92</v>
      </c>
      <c r="B76">
        <v>0.24560055190642499</v>
      </c>
      <c r="C76">
        <v>0.18643459638756299</v>
      </c>
      <c r="D76">
        <v>0.309439104441878</v>
      </c>
      <c r="E76">
        <v>0.79582195565996439</v>
      </c>
      <c r="F76">
        <v>0.1989554889149911</v>
      </c>
      <c r="G76">
        <v>9.9477744457495548E-2</v>
      </c>
      <c r="H76">
        <f t="shared" si="1"/>
        <v>0.94503857234620758</v>
      </c>
    </row>
    <row r="77" spans="1:8" x14ac:dyDescent="0.2">
      <c r="A77">
        <v>93</v>
      </c>
      <c r="B77">
        <v>0.24589919000060301</v>
      </c>
      <c r="C77">
        <v>0.186606580657699</v>
      </c>
      <c r="D77">
        <v>0.31001723931566599</v>
      </c>
      <c r="E77">
        <v>0.79678963570098427</v>
      </c>
      <c r="F77">
        <v>0.19919740892524607</v>
      </c>
      <c r="G77">
        <v>9.9598704462623033E-2</v>
      </c>
      <c r="H77">
        <f t="shared" si="1"/>
        <v>0.94618769239491862</v>
      </c>
    </row>
    <row r="78" spans="1:8" x14ac:dyDescent="0.2">
      <c r="A78">
        <v>94</v>
      </c>
      <c r="B78">
        <v>0.24589919000060301</v>
      </c>
      <c r="C78">
        <v>0.186606580657699</v>
      </c>
      <c r="D78">
        <v>0.31001723931566599</v>
      </c>
      <c r="E78">
        <v>0.79678963570098427</v>
      </c>
      <c r="F78">
        <v>0.19919740892524607</v>
      </c>
      <c r="G78">
        <v>9.9598704462623033E-2</v>
      </c>
      <c r="H78">
        <f t="shared" si="1"/>
        <v>0.94618769239491862</v>
      </c>
    </row>
    <row r="79" spans="1:8" x14ac:dyDescent="0.2">
      <c r="A79">
        <v>95</v>
      </c>
      <c r="B79">
        <v>0.24606666194580001</v>
      </c>
      <c r="C79">
        <v>0.186744879420666</v>
      </c>
      <c r="D79">
        <v>0.310289805094074</v>
      </c>
      <c r="E79">
        <v>0.79733229674107686</v>
      </c>
      <c r="F79">
        <v>0.19933307418526922</v>
      </c>
      <c r="G79">
        <v>9.9666537092634608E-2</v>
      </c>
      <c r="H79">
        <f t="shared" si="1"/>
        <v>0.94683210238002868</v>
      </c>
    </row>
    <row r="80" spans="1:8" x14ac:dyDescent="0.2">
      <c r="A80">
        <v>96</v>
      </c>
      <c r="B80">
        <v>0.24627723927634501</v>
      </c>
      <c r="C80">
        <v>0.18687316196069401</v>
      </c>
      <c r="D80">
        <v>0.31074479502842001</v>
      </c>
      <c r="E80">
        <v>0.79801463259786198</v>
      </c>
      <c r="F80">
        <v>0.1995036581494655</v>
      </c>
      <c r="G80">
        <v>9.9751829074732748E-2</v>
      </c>
      <c r="H80">
        <f t="shared" si="1"/>
        <v>0.94764237620996106</v>
      </c>
    </row>
    <row r="81" spans="1:8" x14ac:dyDescent="0.2">
      <c r="A81">
        <v>97</v>
      </c>
      <c r="B81">
        <v>0.24627723927634501</v>
      </c>
      <c r="C81">
        <v>0.18687316196069401</v>
      </c>
      <c r="D81">
        <v>0.31074479502842001</v>
      </c>
      <c r="E81">
        <v>0.79801463259786198</v>
      </c>
      <c r="F81">
        <v>0.1995036581494655</v>
      </c>
      <c r="G81">
        <v>9.9751829074732748E-2</v>
      </c>
      <c r="H81">
        <f t="shared" si="1"/>
        <v>0.94764237620996106</v>
      </c>
    </row>
    <row r="82" spans="1:8" x14ac:dyDescent="0.2">
      <c r="A82">
        <v>98</v>
      </c>
      <c r="B82">
        <v>0.24657417906752499</v>
      </c>
      <c r="C82">
        <v>0.186983505993395</v>
      </c>
      <c r="D82">
        <v>0.31157941276241802</v>
      </c>
      <c r="E82">
        <v>0.79897680961047779</v>
      </c>
      <c r="F82">
        <v>0.19974420240261945</v>
      </c>
      <c r="G82">
        <v>9.9872101201309724E-2</v>
      </c>
      <c r="H82">
        <f t="shared" si="1"/>
        <v>0.94878496141244228</v>
      </c>
    </row>
    <row r="83" spans="1:8" x14ac:dyDescent="0.2">
      <c r="A83">
        <v>99</v>
      </c>
      <c r="B83">
        <v>0.24657417906752499</v>
      </c>
      <c r="C83">
        <v>0.186983505993395</v>
      </c>
      <c r="D83">
        <v>0.31157941276241802</v>
      </c>
      <c r="E83">
        <v>0.79897680961047779</v>
      </c>
      <c r="F83">
        <v>0.19974420240261945</v>
      </c>
      <c r="G83">
        <v>9.9872101201309724E-2</v>
      </c>
      <c r="H83">
        <f t="shared" si="1"/>
        <v>0.94878496141244228</v>
      </c>
    </row>
    <row r="84" spans="1:8" x14ac:dyDescent="0.2">
      <c r="A84">
        <v>100</v>
      </c>
      <c r="B84">
        <v>0.24688994834554601</v>
      </c>
      <c r="C84">
        <v>0.187101407648226</v>
      </c>
      <c r="D84">
        <v>0.31251499983846798</v>
      </c>
      <c r="E84">
        <v>0.8</v>
      </c>
      <c r="F84">
        <v>0.2</v>
      </c>
      <c r="G84">
        <v>0.1</v>
      </c>
      <c r="H84">
        <f>B84/B$84*0.95</f>
        <v>0.95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54E-58D3-8D43-83AE-3A755109075C}">
  <dimension ref="A1:E84"/>
  <sheetViews>
    <sheetView workbookViewId="0">
      <selection activeCell="C2" sqref="C2:C84"/>
    </sheetView>
  </sheetViews>
  <sheetFormatPr baseColWidth="10" defaultRowHeight="15" x14ac:dyDescent="0.2"/>
  <sheetData>
    <row r="1" spans="1:5" x14ac:dyDescent="0.2">
      <c r="A1" t="s">
        <v>0</v>
      </c>
      <c r="B1" t="s">
        <v>3</v>
      </c>
      <c r="E1" t="s">
        <v>3</v>
      </c>
    </row>
    <row r="2" spans="1:5" x14ac:dyDescent="0.2">
      <c r="A2">
        <v>18</v>
      </c>
      <c r="B2">
        <v>0</v>
      </c>
      <c r="C2">
        <f t="shared" ref="C2:C65" si="0">B2/B$84*0.8</f>
        <v>0</v>
      </c>
      <c r="E2">
        <v>0</v>
      </c>
    </row>
    <row r="3" spans="1:5" x14ac:dyDescent="0.2">
      <c r="A3">
        <v>19</v>
      </c>
      <c r="B3">
        <v>0</v>
      </c>
      <c r="C3">
        <f t="shared" si="0"/>
        <v>0</v>
      </c>
      <c r="E3">
        <v>0</v>
      </c>
    </row>
    <row r="4" spans="1:5" x14ac:dyDescent="0.2">
      <c r="A4">
        <v>20</v>
      </c>
      <c r="B4">
        <v>2.2979051062885101E-16</v>
      </c>
      <c r="C4">
        <f t="shared" si="0"/>
        <v>7.44592518792178E-16</v>
      </c>
      <c r="E4">
        <v>2.2979051062885101E-16</v>
      </c>
    </row>
    <row r="5" spans="1:5" x14ac:dyDescent="0.2">
      <c r="A5">
        <v>21</v>
      </c>
      <c r="B5">
        <v>2.2560579571508799E-15</v>
      </c>
      <c r="C5">
        <f t="shared" si="0"/>
        <v>7.3103274467644573E-15</v>
      </c>
      <c r="E5">
        <v>2.2560579571508799E-15</v>
      </c>
    </row>
    <row r="6" spans="1:5" x14ac:dyDescent="0.2">
      <c r="A6">
        <v>22</v>
      </c>
      <c r="B6">
        <v>9.53749218862786E-15</v>
      </c>
      <c r="C6">
        <f t="shared" si="0"/>
        <v>3.0904432529684785E-14</v>
      </c>
      <c r="E6">
        <v>9.53749218862786E-15</v>
      </c>
    </row>
    <row r="7" spans="1:5" x14ac:dyDescent="0.2">
      <c r="A7">
        <v>23</v>
      </c>
      <c r="B7">
        <v>3.7912257377585297E-14</v>
      </c>
      <c r="C7">
        <f t="shared" si="0"/>
        <v>1.2284747153666534E-13</v>
      </c>
      <c r="E7">
        <v>3.7912257377585297E-14</v>
      </c>
    </row>
    <row r="8" spans="1:5" x14ac:dyDescent="0.2">
      <c r="A8">
        <v>24</v>
      </c>
      <c r="B8">
        <v>7.3928224729252705E-14</v>
      </c>
      <c r="C8">
        <f t="shared" si="0"/>
        <v>2.3955037529768727E-13</v>
      </c>
      <c r="E8">
        <v>7.3928224729252705E-14</v>
      </c>
    </row>
    <row r="9" spans="1:5" x14ac:dyDescent="0.2">
      <c r="A9">
        <v>25</v>
      </c>
      <c r="B9">
        <v>7.3928224729252705E-14</v>
      </c>
      <c r="C9">
        <f t="shared" si="0"/>
        <v>2.3955037529768727E-13</v>
      </c>
      <c r="E9">
        <v>7.3928224729252705E-14</v>
      </c>
    </row>
    <row r="10" spans="1:5" x14ac:dyDescent="0.2">
      <c r="A10">
        <v>26</v>
      </c>
      <c r="B10">
        <v>3.0327051056051999E-12</v>
      </c>
      <c r="C10">
        <f t="shared" si="0"/>
        <v>9.8269050673886178E-12</v>
      </c>
      <c r="E10">
        <v>3.0327051056051999E-12</v>
      </c>
    </row>
    <row r="11" spans="1:5" x14ac:dyDescent="0.2">
      <c r="A11">
        <v>27</v>
      </c>
      <c r="B11">
        <v>4.9923143279548698E-11</v>
      </c>
      <c r="C11">
        <f t="shared" si="0"/>
        <v>1.6176646676494583E-10</v>
      </c>
      <c r="E11">
        <v>4.9923143279548698E-11</v>
      </c>
    </row>
    <row r="12" spans="1:5" x14ac:dyDescent="0.2">
      <c r="A12">
        <v>28</v>
      </c>
      <c r="B12">
        <v>5.1359809217661098E-11</v>
      </c>
      <c r="C12">
        <f t="shared" si="0"/>
        <v>1.6642170995403396E-10</v>
      </c>
      <c r="E12">
        <v>5.1359809217661098E-11</v>
      </c>
    </row>
    <row r="13" spans="1:5" x14ac:dyDescent="0.2">
      <c r="A13">
        <v>29</v>
      </c>
      <c r="B13">
        <v>8.8115418091419995E-11</v>
      </c>
      <c r="C13">
        <f t="shared" si="0"/>
        <v>2.8552128162980236E-10</v>
      </c>
      <c r="E13">
        <v>8.8115418091419995E-11</v>
      </c>
    </row>
    <row r="14" spans="1:5" x14ac:dyDescent="0.2">
      <c r="A14">
        <v>30</v>
      </c>
      <c r="B14">
        <v>1.4531241195084801E-10</v>
      </c>
      <c r="C14">
        <f t="shared" si="0"/>
        <v>4.7085728009459322E-10</v>
      </c>
      <c r="E14">
        <v>1.4531241195084801E-10</v>
      </c>
    </row>
    <row r="15" spans="1:5" x14ac:dyDescent="0.2">
      <c r="A15">
        <v>31</v>
      </c>
      <c r="B15">
        <v>1.5515982315707199E-9</v>
      </c>
      <c r="C15">
        <f t="shared" si="0"/>
        <v>5.0276594635569702E-9</v>
      </c>
      <c r="E15">
        <v>1.5515982315707199E-9</v>
      </c>
    </row>
    <row r="16" spans="1:5" x14ac:dyDescent="0.2">
      <c r="A16">
        <v>32</v>
      </c>
      <c r="B16">
        <v>2.5221317484109401E-9</v>
      </c>
      <c r="C16">
        <f t="shared" si="0"/>
        <v>8.1724890472445686E-9</v>
      </c>
      <c r="E16">
        <v>2.5221317484109401E-9</v>
      </c>
    </row>
    <row r="17" spans="1:5" x14ac:dyDescent="0.2">
      <c r="A17">
        <v>33</v>
      </c>
      <c r="B17">
        <v>9.39042175798466E-9</v>
      </c>
      <c r="C17">
        <f t="shared" si="0"/>
        <v>3.0427878723817043E-8</v>
      </c>
      <c r="E17">
        <v>9.39042175798466E-9</v>
      </c>
    </row>
    <row r="18" spans="1:5" x14ac:dyDescent="0.2">
      <c r="A18">
        <v>34</v>
      </c>
      <c r="B18">
        <v>9.7049916124697003E-9</v>
      </c>
      <c r="C18">
        <f t="shared" si="0"/>
        <v>3.1447182609108541E-8</v>
      </c>
      <c r="E18">
        <v>9.7049916124697003E-9</v>
      </c>
    </row>
    <row r="19" spans="1:5" x14ac:dyDescent="0.2">
      <c r="A19">
        <v>35</v>
      </c>
      <c r="B19">
        <v>9.5506767253430403E-8</v>
      </c>
      <c r="C19">
        <f t="shared" si="0"/>
        <v>3.0947154517529275E-7</v>
      </c>
      <c r="E19">
        <v>9.5506767253430403E-8</v>
      </c>
    </row>
    <row r="20" spans="1:5" x14ac:dyDescent="0.2">
      <c r="A20">
        <v>36</v>
      </c>
      <c r="B20">
        <v>5.6114252083010795E-7</v>
      </c>
      <c r="C20">
        <f t="shared" si="0"/>
        <v>1.8182757932120769E-6</v>
      </c>
      <c r="E20">
        <v>5.6114252083010795E-7</v>
      </c>
    </row>
    <row r="21" spans="1:5" x14ac:dyDescent="0.2">
      <c r="A21">
        <v>37</v>
      </c>
      <c r="B21">
        <v>3.86489701559778E-3</v>
      </c>
      <c r="C21">
        <f t="shared" si="0"/>
        <v>1.2523464941354319E-2</v>
      </c>
      <c r="E21">
        <v>3.86489701559778E-3</v>
      </c>
    </row>
    <row r="22" spans="1:5" x14ac:dyDescent="0.2">
      <c r="A22">
        <v>38</v>
      </c>
      <c r="B22">
        <v>4.0727348648123404E-3</v>
      </c>
      <c r="C22">
        <f t="shared" si="0"/>
        <v>1.3196924029040373E-2</v>
      </c>
      <c r="E22">
        <v>4.0727348648123404E-3</v>
      </c>
    </row>
    <row r="23" spans="1:5" x14ac:dyDescent="0.2">
      <c r="A23">
        <v>39</v>
      </c>
      <c r="B23">
        <v>4.2124890227538203E-3</v>
      </c>
      <c r="C23">
        <f t="shared" si="0"/>
        <v>1.3649770842377238E-2</v>
      </c>
      <c r="E23">
        <v>4.2124890227538203E-3</v>
      </c>
    </row>
    <row r="24" spans="1:5" x14ac:dyDescent="0.2">
      <c r="A24">
        <v>40</v>
      </c>
      <c r="B24">
        <v>6.8383598306987203E-3</v>
      </c>
      <c r="C24">
        <f t="shared" si="0"/>
        <v>2.2158406614846173E-2</v>
      </c>
      <c r="E24">
        <v>6.8383598306987203E-3</v>
      </c>
    </row>
    <row r="25" spans="1:5" x14ac:dyDescent="0.2">
      <c r="A25">
        <v>41</v>
      </c>
      <c r="B25">
        <v>9.3539603593521693E-3</v>
      </c>
      <c r="C25">
        <f t="shared" si="0"/>
        <v>3.0309732484565668E-2</v>
      </c>
      <c r="E25">
        <v>9.3539603593521693E-3</v>
      </c>
    </row>
    <row r="26" spans="1:5" x14ac:dyDescent="0.2">
      <c r="A26">
        <v>42</v>
      </c>
      <c r="B26">
        <v>9.6707145599997605E-3</v>
      </c>
      <c r="C26">
        <f t="shared" si="0"/>
        <v>3.1336114328849633E-2</v>
      </c>
      <c r="E26">
        <v>9.6707145599997605E-3</v>
      </c>
    </row>
    <row r="27" spans="1:5" x14ac:dyDescent="0.2">
      <c r="A27">
        <v>43</v>
      </c>
      <c r="B27">
        <v>1.21501433662597E-2</v>
      </c>
      <c r="C27">
        <f t="shared" si="0"/>
        <v>3.9370232600168614E-2</v>
      </c>
      <c r="E27">
        <v>1.21501433662597E-2</v>
      </c>
    </row>
    <row r="28" spans="1:5" x14ac:dyDescent="0.2">
      <c r="A28">
        <v>44</v>
      </c>
      <c r="B28">
        <v>1.69221498421189E-2</v>
      </c>
      <c r="C28">
        <f t="shared" si="0"/>
        <v>5.4833013512351626E-2</v>
      </c>
      <c r="E28">
        <v>1.69221498421189E-2</v>
      </c>
    </row>
    <row r="29" spans="1:5" x14ac:dyDescent="0.2">
      <c r="A29">
        <v>45</v>
      </c>
      <c r="B29">
        <v>1.97245467722603E-2</v>
      </c>
      <c r="C29">
        <f t="shared" si="0"/>
        <v>6.3913648666340736E-2</v>
      </c>
      <c r="E29">
        <v>1.97245467722603E-2</v>
      </c>
    </row>
    <row r="30" spans="1:5" x14ac:dyDescent="0.2">
      <c r="A30">
        <v>46</v>
      </c>
      <c r="B30">
        <v>2.023092590308E-2</v>
      </c>
      <c r="C30">
        <f t="shared" si="0"/>
        <v>6.5554474092286305E-2</v>
      </c>
      <c r="E30">
        <v>2.023092590308E-2</v>
      </c>
    </row>
    <row r="31" spans="1:5" x14ac:dyDescent="0.2">
      <c r="A31">
        <v>47</v>
      </c>
      <c r="B31">
        <v>2.73693031706853E-2</v>
      </c>
      <c r="C31">
        <f t="shared" si="0"/>
        <v>8.868503024636501E-2</v>
      </c>
      <c r="E31">
        <v>2.73693031706853E-2</v>
      </c>
    </row>
    <row r="32" spans="1:5" x14ac:dyDescent="0.2">
      <c r="A32">
        <v>48</v>
      </c>
      <c r="B32">
        <v>3.2481591126520402E-2</v>
      </c>
      <c r="C32">
        <f t="shared" si="0"/>
        <v>0.10525042868431184</v>
      </c>
      <c r="E32">
        <v>3.2481591126520402E-2</v>
      </c>
    </row>
    <row r="33" spans="1:5" x14ac:dyDescent="0.2">
      <c r="A33">
        <v>49</v>
      </c>
      <c r="B33">
        <v>3.52303983558096E-2</v>
      </c>
      <c r="C33">
        <f t="shared" si="0"/>
        <v>0.1141574165879003</v>
      </c>
      <c r="E33">
        <v>3.52303983558096E-2</v>
      </c>
    </row>
    <row r="34" spans="1:5" x14ac:dyDescent="0.2">
      <c r="A34">
        <v>50</v>
      </c>
      <c r="B34">
        <v>3.8212467410718903E-2</v>
      </c>
      <c r="C34">
        <f t="shared" si="0"/>
        <v>0.12382024514740281</v>
      </c>
      <c r="E34">
        <v>3.8212467410718903E-2</v>
      </c>
    </row>
    <row r="35" spans="1:5" x14ac:dyDescent="0.2">
      <c r="A35">
        <v>51</v>
      </c>
      <c r="B35">
        <v>4.33745569916806E-2</v>
      </c>
      <c r="C35">
        <f t="shared" si="0"/>
        <v>0.14054701629561292</v>
      </c>
      <c r="E35">
        <v>4.33745569916806E-2</v>
      </c>
    </row>
    <row r="36" spans="1:5" x14ac:dyDescent="0.2">
      <c r="A36">
        <v>52</v>
      </c>
      <c r="B36">
        <v>5.35422435147518E-2</v>
      </c>
      <c r="C36">
        <f t="shared" si="0"/>
        <v>0.17349347390948239</v>
      </c>
      <c r="E36">
        <v>5.35422435147518E-2</v>
      </c>
    </row>
    <row r="37" spans="1:5" x14ac:dyDescent="0.2">
      <c r="A37">
        <v>53</v>
      </c>
      <c r="B37">
        <v>5.6448577759492802E-2</v>
      </c>
      <c r="C37">
        <f t="shared" si="0"/>
        <v>0.1829108981965929</v>
      </c>
      <c r="E37">
        <v>5.6448577759492802E-2</v>
      </c>
    </row>
    <row r="38" spans="1:5" x14ac:dyDescent="0.2">
      <c r="A38">
        <v>54</v>
      </c>
      <c r="B38">
        <v>6.4416023534483099E-2</v>
      </c>
      <c r="C38">
        <f t="shared" si="0"/>
        <v>0.20872789343153572</v>
      </c>
      <c r="E38">
        <v>6.4416023534483099E-2</v>
      </c>
    </row>
    <row r="39" spans="1:5" x14ac:dyDescent="0.2">
      <c r="A39">
        <v>55</v>
      </c>
      <c r="B39">
        <v>6.7501397469911101E-2</v>
      </c>
      <c r="C39">
        <f t="shared" si="0"/>
        <v>0.21872546184160227</v>
      </c>
      <c r="E39">
        <v>6.7501397469911101E-2</v>
      </c>
    </row>
    <row r="40" spans="1:5" x14ac:dyDescent="0.2">
      <c r="A40">
        <v>56</v>
      </c>
      <c r="B40">
        <v>7.07821179196928E-2</v>
      </c>
      <c r="C40">
        <f t="shared" si="0"/>
        <v>0.22935601354049939</v>
      </c>
      <c r="E40">
        <v>7.07821179196928E-2</v>
      </c>
    </row>
    <row r="41" spans="1:5" x14ac:dyDescent="0.2">
      <c r="A41">
        <v>57</v>
      </c>
      <c r="B41">
        <v>8.1778384182231406E-2</v>
      </c>
      <c r="C41">
        <f t="shared" si="0"/>
        <v>0.26498732647559964</v>
      </c>
      <c r="E41">
        <v>8.1778384182231406E-2</v>
      </c>
    </row>
    <row r="42" spans="1:5" x14ac:dyDescent="0.2">
      <c r="A42">
        <v>58</v>
      </c>
      <c r="B42">
        <v>9.30980129448397E-2</v>
      </c>
      <c r="C42">
        <f t="shared" si="0"/>
        <v>0.30166643419452677</v>
      </c>
      <c r="E42">
        <v>9.30980129448397E-2</v>
      </c>
    </row>
    <row r="43" spans="1:5" x14ac:dyDescent="0.2">
      <c r="A43">
        <v>59</v>
      </c>
      <c r="B43">
        <v>0.101882412616477</v>
      </c>
      <c r="C43">
        <f t="shared" si="0"/>
        <v>0.33013061341446875</v>
      </c>
      <c r="E43">
        <v>0.101882412616477</v>
      </c>
    </row>
    <row r="44" spans="1:5" x14ac:dyDescent="0.2">
      <c r="A44">
        <v>60</v>
      </c>
      <c r="B44">
        <v>0.108242197748964</v>
      </c>
      <c r="C44">
        <f t="shared" si="0"/>
        <v>0.35073828958793812</v>
      </c>
      <c r="E44">
        <v>0.108242197748964</v>
      </c>
    </row>
    <row r="45" spans="1:5" x14ac:dyDescent="0.2">
      <c r="A45">
        <v>61</v>
      </c>
      <c r="B45">
        <v>0.114757256469057</v>
      </c>
      <c r="C45">
        <f t="shared" si="0"/>
        <v>0.37184910033985924</v>
      </c>
      <c r="E45">
        <v>0.114757256469057</v>
      </c>
    </row>
    <row r="46" spans="1:5" x14ac:dyDescent="0.2">
      <c r="A46">
        <v>62</v>
      </c>
      <c r="B46">
        <v>0.12432693269464599</v>
      </c>
      <c r="C46">
        <f t="shared" si="0"/>
        <v>0.40285781913045277</v>
      </c>
      <c r="E46">
        <v>0.12432693269464599</v>
      </c>
    </row>
    <row r="47" spans="1:5" x14ac:dyDescent="0.2">
      <c r="A47">
        <v>63</v>
      </c>
      <c r="B47">
        <v>0.139929102184736</v>
      </c>
      <c r="C47">
        <f t="shared" si="0"/>
        <v>0.45341368694003503</v>
      </c>
      <c r="E47">
        <v>0.139929102184736</v>
      </c>
    </row>
    <row r="48" spans="1:5" x14ac:dyDescent="0.2">
      <c r="A48">
        <v>64</v>
      </c>
      <c r="B48">
        <v>0.153083455561349</v>
      </c>
      <c r="C48">
        <f t="shared" si="0"/>
        <v>0.49603787140688005</v>
      </c>
      <c r="E48">
        <v>0.153083455561349</v>
      </c>
    </row>
    <row r="49" spans="1:5" x14ac:dyDescent="0.2">
      <c r="A49">
        <v>65</v>
      </c>
      <c r="B49">
        <v>0.157195402795724</v>
      </c>
      <c r="C49">
        <f t="shared" si="0"/>
        <v>0.50936185567413728</v>
      </c>
      <c r="E49">
        <v>0.157195402795724</v>
      </c>
    </row>
    <row r="50" spans="1:5" x14ac:dyDescent="0.2">
      <c r="A50">
        <v>66</v>
      </c>
      <c r="B50">
        <v>0.16121968282292701</v>
      </c>
      <c r="C50">
        <f t="shared" si="0"/>
        <v>0.52240177100214613</v>
      </c>
      <c r="E50">
        <v>0.16121968282292701</v>
      </c>
    </row>
    <row r="51" spans="1:5" x14ac:dyDescent="0.2">
      <c r="A51">
        <v>67</v>
      </c>
      <c r="B51">
        <v>0.175780358291074</v>
      </c>
      <c r="C51">
        <f t="shared" si="0"/>
        <v>0.56958287518470418</v>
      </c>
      <c r="E51">
        <v>0.175780358291074</v>
      </c>
    </row>
    <row r="52" spans="1:5" x14ac:dyDescent="0.2">
      <c r="A52">
        <v>68</v>
      </c>
      <c r="B52">
        <v>0.183585431938631</v>
      </c>
      <c r="C52">
        <f t="shared" si="0"/>
        <v>0.59487373437070257</v>
      </c>
      <c r="E52">
        <v>0.183585431938631</v>
      </c>
    </row>
    <row r="53" spans="1:5" x14ac:dyDescent="0.2">
      <c r="A53">
        <v>69</v>
      </c>
      <c r="B53">
        <v>0.18815641513181799</v>
      </c>
      <c r="C53">
        <f t="shared" si="0"/>
        <v>0.60968513750418118</v>
      </c>
      <c r="E53">
        <v>0.18815641513181799</v>
      </c>
    </row>
    <row r="54" spans="1:5" x14ac:dyDescent="0.2">
      <c r="A54">
        <v>70</v>
      </c>
      <c r="B54">
        <v>0.204858176115951</v>
      </c>
      <c r="C54">
        <f t="shared" si="0"/>
        <v>0.66380402276801476</v>
      </c>
      <c r="E54">
        <v>0.204858176115951</v>
      </c>
    </row>
    <row r="55" spans="1:5" x14ac:dyDescent="0.2">
      <c r="A55">
        <v>71</v>
      </c>
      <c r="B55">
        <v>0.20565058404168601</v>
      </c>
      <c r="C55">
        <f t="shared" si="0"/>
        <v>0.66637167019487864</v>
      </c>
      <c r="E55">
        <v>0.20565058404168601</v>
      </c>
    </row>
    <row r="56" spans="1:5" x14ac:dyDescent="0.2">
      <c r="A56">
        <v>72</v>
      </c>
      <c r="B56">
        <v>0.210466032942843</v>
      </c>
      <c r="C56">
        <f t="shared" si="0"/>
        <v>0.68197521803771688</v>
      </c>
      <c r="E56">
        <v>0.210466032942843</v>
      </c>
    </row>
    <row r="57" spans="1:5" x14ac:dyDescent="0.2">
      <c r="A57">
        <v>73</v>
      </c>
      <c r="B57">
        <v>0.21566032261258</v>
      </c>
      <c r="C57">
        <f t="shared" si="0"/>
        <v>0.69880632745969173</v>
      </c>
      <c r="E57">
        <v>0.21566032261258</v>
      </c>
    </row>
    <row r="58" spans="1:5" x14ac:dyDescent="0.2">
      <c r="A58">
        <v>74</v>
      </c>
      <c r="B58">
        <v>0.225897838386734</v>
      </c>
      <c r="C58">
        <f t="shared" si="0"/>
        <v>0.73197905350304004</v>
      </c>
      <c r="E58">
        <v>0.225897838386734</v>
      </c>
    </row>
    <row r="59" spans="1:5" x14ac:dyDescent="0.2">
      <c r="A59">
        <v>75</v>
      </c>
      <c r="B59">
        <v>0.22654070695827799</v>
      </c>
      <c r="C59">
        <f t="shared" si="0"/>
        <v>0.73406214704606021</v>
      </c>
      <c r="E59">
        <v>0.22654070695827799</v>
      </c>
    </row>
    <row r="60" spans="1:5" x14ac:dyDescent="0.2">
      <c r="A60">
        <v>76</v>
      </c>
      <c r="B60">
        <v>0.227275002210058</v>
      </c>
      <c r="C60">
        <f t="shared" si="0"/>
        <v>0.73644149138697212</v>
      </c>
      <c r="E60">
        <v>0.227275002210058</v>
      </c>
    </row>
    <row r="61" spans="1:5" x14ac:dyDescent="0.2">
      <c r="A61">
        <v>77</v>
      </c>
      <c r="B61">
        <v>0.23318878941734</v>
      </c>
      <c r="C61">
        <f t="shared" si="0"/>
        <v>0.75560399596655947</v>
      </c>
      <c r="E61">
        <v>0.23318878941734</v>
      </c>
    </row>
    <row r="62" spans="1:5" x14ac:dyDescent="0.2">
      <c r="A62">
        <v>78</v>
      </c>
      <c r="B62">
        <v>0.23400312544061899</v>
      </c>
      <c r="C62">
        <f t="shared" si="0"/>
        <v>0.75824269722997173</v>
      </c>
      <c r="E62">
        <v>0.23400312544061899</v>
      </c>
    </row>
    <row r="63" spans="1:5" x14ac:dyDescent="0.2">
      <c r="A63">
        <v>79</v>
      </c>
      <c r="B63">
        <v>0.24055278960050999</v>
      </c>
      <c r="C63">
        <f t="shared" si="0"/>
        <v>0.77946564033893662</v>
      </c>
      <c r="E63">
        <v>0.24055278960050999</v>
      </c>
    </row>
    <row r="64" spans="1:5" x14ac:dyDescent="0.2">
      <c r="A64">
        <v>80</v>
      </c>
      <c r="B64">
        <v>0.24122631813940501</v>
      </c>
      <c r="C64">
        <f t="shared" si="0"/>
        <v>0.78164808168467292</v>
      </c>
      <c r="E64">
        <v>0.24122631813940501</v>
      </c>
    </row>
    <row r="65" spans="1:5" x14ac:dyDescent="0.2">
      <c r="A65">
        <v>81</v>
      </c>
      <c r="B65">
        <v>0.241667119133815</v>
      </c>
      <c r="C65">
        <f t="shared" si="0"/>
        <v>0.78307641361106806</v>
      </c>
      <c r="E65">
        <v>0.241667119133815</v>
      </c>
    </row>
    <row r="66" spans="1:5" x14ac:dyDescent="0.2">
      <c r="A66">
        <v>82</v>
      </c>
      <c r="B66">
        <v>0.241827348355136</v>
      </c>
      <c r="C66">
        <f t="shared" ref="C66:C82" si="1">B66/B$84*0.8</f>
        <v>0.78359560597963462</v>
      </c>
      <c r="E66">
        <v>0.241827348355136</v>
      </c>
    </row>
    <row r="67" spans="1:5" x14ac:dyDescent="0.2">
      <c r="A67">
        <v>83</v>
      </c>
      <c r="B67">
        <v>0.24209148251920401</v>
      </c>
      <c r="C67">
        <f t="shared" si="1"/>
        <v>0.78445148258648079</v>
      </c>
      <c r="E67">
        <v>0.24209148251920401</v>
      </c>
    </row>
    <row r="68" spans="1:5" x14ac:dyDescent="0.2">
      <c r="A68">
        <v>84</v>
      </c>
      <c r="B68">
        <v>0.24255378265473801</v>
      </c>
      <c r="C68">
        <f t="shared" si="1"/>
        <v>0.78594947839759244</v>
      </c>
      <c r="E68">
        <v>0.24255378265473801</v>
      </c>
    </row>
    <row r="69" spans="1:5" x14ac:dyDescent="0.2">
      <c r="A69">
        <v>85</v>
      </c>
      <c r="B69">
        <v>0.242932490585966</v>
      </c>
      <c r="C69">
        <f t="shared" si="1"/>
        <v>0.7871766095425119</v>
      </c>
      <c r="E69">
        <v>0.242932490585966</v>
      </c>
    </row>
    <row r="70" spans="1:5" x14ac:dyDescent="0.2">
      <c r="A70">
        <v>86</v>
      </c>
      <c r="B70">
        <v>0.24353879431092701</v>
      </c>
      <c r="C70">
        <f t="shared" si="1"/>
        <v>0.78914122164283906</v>
      </c>
      <c r="E70">
        <v>0.24353879431092701</v>
      </c>
    </row>
    <row r="71" spans="1:5" x14ac:dyDescent="0.2">
      <c r="A71">
        <v>87</v>
      </c>
      <c r="B71">
        <v>0.24385124496614999</v>
      </c>
      <c r="C71">
        <f t="shared" si="1"/>
        <v>0.79015365866529963</v>
      </c>
      <c r="E71">
        <v>0.24385124496614999</v>
      </c>
    </row>
    <row r="72" spans="1:5" x14ac:dyDescent="0.2">
      <c r="A72">
        <v>88</v>
      </c>
      <c r="B72">
        <v>0.24438744329161499</v>
      </c>
      <c r="C72">
        <f t="shared" si="1"/>
        <v>0.79189110752964798</v>
      </c>
      <c r="E72">
        <v>0.24438744329161499</v>
      </c>
    </row>
    <row r="73" spans="1:5" x14ac:dyDescent="0.2">
      <c r="A73">
        <v>89</v>
      </c>
      <c r="B73">
        <v>0.244845189832744</v>
      </c>
      <c r="C73">
        <f t="shared" si="1"/>
        <v>0.7933743482826926</v>
      </c>
      <c r="E73">
        <v>0.244845189832744</v>
      </c>
    </row>
    <row r="74" spans="1:5" x14ac:dyDescent="0.2">
      <c r="A74">
        <v>90</v>
      </c>
      <c r="B74">
        <v>0.24508612423368401</v>
      </c>
      <c r="C74">
        <f t="shared" si="1"/>
        <v>0.79415505046211976</v>
      </c>
      <c r="E74">
        <v>0.24508612423368401</v>
      </c>
    </row>
    <row r="75" spans="1:5" x14ac:dyDescent="0.2">
      <c r="A75">
        <v>91</v>
      </c>
      <c r="B75">
        <v>0.24560055190642499</v>
      </c>
      <c r="C75">
        <f t="shared" si="1"/>
        <v>0.79582195565996439</v>
      </c>
      <c r="E75">
        <v>0.24560055190642499</v>
      </c>
    </row>
    <row r="76" spans="1:5" x14ac:dyDescent="0.2">
      <c r="A76">
        <v>92</v>
      </c>
      <c r="B76">
        <v>0.24560055190642499</v>
      </c>
      <c r="C76">
        <f t="shared" si="1"/>
        <v>0.79582195565996439</v>
      </c>
      <c r="E76">
        <v>0.24560055190642499</v>
      </c>
    </row>
    <row r="77" spans="1:5" x14ac:dyDescent="0.2">
      <c r="A77">
        <v>93</v>
      </c>
      <c r="B77">
        <v>0.24589919000060301</v>
      </c>
      <c r="C77">
        <f t="shared" si="1"/>
        <v>0.79678963570098427</v>
      </c>
      <c r="E77">
        <v>0.24589919000060301</v>
      </c>
    </row>
    <row r="78" spans="1:5" x14ac:dyDescent="0.2">
      <c r="A78">
        <v>94</v>
      </c>
      <c r="B78">
        <v>0.24589919000060301</v>
      </c>
      <c r="C78">
        <f t="shared" si="1"/>
        <v>0.79678963570098427</v>
      </c>
      <c r="E78">
        <v>0.24589919000060301</v>
      </c>
    </row>
    <row r="79" spans="1:5" x14ac:dyDescent="0.2">
      <c r="A79">
        <v>95</v>
      </c>
      <c r="B79">
        <v>0.24606666194580001</v>
      </c>
      <c r="C79">
        <f t="shared" si="1"/>
        <v>0.79733229674107686</v>
      </c>
      <c r="E79">
        <v>0.24606666194580001</v>
      </c>
    </row>
    <row r="80" spans="1:5" x14ac:dyDescent="0.2">
      <c r="A80">
        <v>96</v>
      </c>
      <c r="B80">
        <v>0.24627723927634501</v>
      </c>
      <c r="C80">
        <f t="shared" si="1"/>
        <v>0.79801463259786198</v>
      </c>
      <c r="E80">
        <v>0.24627723927634501</v>
      </c>
    </row>
    <row r="81" spans="1:5" x14ac:dyDescent="0.2">
      <c r="A81">
        <v>97</v>
      </c>
      <c r="B81">
        <v>0.24627723927634501</v>
      </c>
      <c r="C81">
        <f t="shared" si="1"/>
        <v>0.79801463259786198</v>
      </c>
      <c r="E81">
        <v>0.24627723927634501</v>
      </c>
    </row>
    <row r="82" spans="1:5" x14ac:dyDescent="0.2">
      <c r="A82">
        <v>98</v>
      </c>
      <c r="B82">
        <v>0.24657417906752499</v>
      </c>
      <c r="C82">
        <f t="shared" si="1"/>
        <v>0.79897680961047779</v>
      </c>
      <c r="E82">
        <v>0.24657417906752499</v>
      </c>
    </row>
    <row r="83" spans="1:5" x14ac:dyDescent="0.2">
      <c r="A83">
        <v>99</v>
      </c>
      <c r="B83">
        <v>0.24657417906752499</v>
      </c>
      <c r="C83">
        <f>B83/B$84*0.8</f>
        <v>0.79897680961047779</v>
      </c>
      <c r="E83">
        <v>0.24657417906752499</v>
      </c>
    </row>
    <row r="84" spans="1:5" x14ac:dyDescent="0.2">
      <c r="A84">
        <v>100</v>
      </c>
      <c r="B84">
        <v>0.24688994834554601</v>
      </c>
      <c r="C84">
        <f>B84/B$84*0.8</f>
        <v>0.8</v>
      </c>
      <c r="E84">
        <v>0.24688994834554601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c9</vt:lpstr>
      <vt:lpstr>pathogenic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iwijk</dc:creator>
  <cp:lastModifiedBy>Beele-3, P. (Paul)</cp:lastModifiedBy>
  <dcterms:created xsi:type="dcterms:W3CDTF">2025-02-27T07:10:33Z</dcterms:created>
  <dcterms:modified xsi:type="dcterms:W3CDTF">2025-03-06T17:20:20Z</dcterms:modified>
</cp:coreProperties>
</file>